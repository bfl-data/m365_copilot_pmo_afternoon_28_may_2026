
<file path=[Content_Types].xml><?xml version="1.0" encoding="utf-8"?>
<Types xmlns="http://schemas.openxmlformats.org/package/2006/content-types">
  <Default Extension="rels" ContentType="application/vnd.openxmlformats-package.relationships+xml"/>
  <Default Extension="tmp" ContentType="image/p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Github - Manish\m365_copilot_pmo_afternoon_28_may_2026\"/>
    </mc:Choice>
  </mc:AlternateContent>
  <xr:revisionPtr revIDLastSave="0" documentId="13_ncr:1_{89E29B9E-2DED-4E5E-ADA9-4898A552E40F}" xr6:coauthVersionLast="47" xr6:coauthVersionMax="47" xr10:uidLastSave="{00000000-0000-0000-0000-000000000000}"/>
  <bookViews>
    <workbookView xWindow="25490" yWindow="-110" windowWidth="19420" windowHeight="11020" firstSheet="2" activeTab="3" xr2:uid="{00000000-000D-0000-FFFF-FFFF00000000}"/>
  </bookViews>
  <sheets>
    <sheet name="Project Portfolio" sheetId="1" r:id="rId1"/>
    <sheet name="Portfolio Summary" sheetId="2" r:id="rId2"/>
    <sheet name="Insights Summary" sheetId="4" r:id="rId3"/>
    <sheet name="Project Timeline" sheetId="6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6" l="1"/>
  <c r="B4" i="6"/>
  <c r="C4" i="6"/>
  <c r="D4" i="6"/>
  <c r="E4" i="6"/>
  <c r="F4" i="6"/>
  <c r="G4" i="6"/>
  <c r="A5" i="6"/>
  <c r="B5" i="6"/>
  <c r="C5" i="6"/>
  <c r="D5" i="6"/>
  <c r="E5" i="6"/>
  <c r="F5" i="6"/>
  <c r="G5" i="6"/>
  <c r="A6" i="6"/>
  <c r="B6" i="6"/>
  <c r="C6" i="6"/>
  <c r="D6" i="6"/>
  <c r="E6" i="6"/>
  <c r="F6" i="6"/>
  <c r="G6" i="6"/>
  <c r="A7" i="6"/>
  <c r="B7" i="6"/>
  <c r="C7" i="6"/>
  <c r="D7" i="6"/>
  <c r="E7" i="6"/>
  <c r="F7" i="6"/>
  <c r="G7" i="6"/>
  <c r="A8" i="6"/>
  <c r="B8" i="6"/>
  <c r="C8" i="6"/>
  <c r="D8" i="6"/>
  <c r="E8" i="6"/>
  <c r="F8" i="6"/>
  <c r="G8" i="6"/>
  <c r="A9" i="6"/>
  <c r="B9" i="6"/>
  <c r="C9" i="6"/>
  <c r="D9" i="6"/>
  <c r="E9" i="6"/>
  <c r="F9" i="6"/>
  <c r="G9" i="6"/>
  <c r="A10" i="6"/>
  <c r="B10" i="6"/>
  <c r="C10" i="6"/>
  <c r="D10" i="6"/>
  <c r="E10" i="6"/>
  <c r="F10" i="6"/>
  <c r="G10" i="6"/>
  <c r="A11" i="6"/>
  <c r="B11" i="6"/>
  <c r="C11" i="6"/>
  <c r="D11" i="6"/>
  <c r="E11" i="6"/>
  <c r="F11" i="6"/>
  <c r="G11" i="6"/>
  <c r="A12" i="6"/>
  <c r="B12" i="6"/>
  <c r="C12" i="6"/>
  <c r="D12" i="6"/>
  <c r="E12" i="6"/>
  <c r="F12" i="6"/>
  <c r="G12" i="6"/>
  <c r="A13" i="6"/>
  <c r="B13" i="6"/>
  <c r="C13" i="6"/>
  <c r="D13" i="6"/>
  <c r="E13" i="6"/>
  <c r="F13" i="6"/>
  <c r="G13" i="6"/>
  <c r="A14" i="6"/>
  <c r="B14" i="6"/>
  <c r="C14" i="6"/>
  <c r="D14" i="6"/>
  <c r="E14" i="6"/>
  <c r="F14" i="6"/>
  <c r="G14" i="6"/>
  <c r="A15" i="6"/>
  <c r="B15" i="6"/>
  <c r="C15" i="6"/>
  <c r="D15" i="6"/>
  <c r="E15" i="6"/>
  <c r="F15" i="6"/>
  <c r="G15" i="6"/>
  <c r="A16" i="6"/>
  <c r="B16" i="6"/>
  <c r="C16" i="6"/>
  <c r="D16" i="6"/>
  <c r="E16" i="6"/>
  <c r="F16" i="6"/>
  <c r="G16" i="6"/>
  <c r="A17" i="6"/>
  <c r="B17" i="6"/>
  <c r="C17" i="6"/>
  <c r="D17" i="6"/>
  <c r="E17" i="6"/>
  <c r="F17" i="6"/>
  <c r="G17" i="6"/>
  <c r="A18" i="6"/>
  <c r="B18" i="6"/>
  <c r="C18" i="6"/>
  <c r="D18" i="6"/>
  <c r="E18" i="6"/>
  <c r="F18" i="6"/>
  <c r="G18" i="6"/>
  <c r="B25" i="2"/>
  <c r="B24" i="2"/>
  <c r="B23" i="2"/>
  <c r="B20" i="2"/>
  <c r="B19" i="2"/>
  <c r="B18" i="2"/>
  <c r="B15" i="2"/>
  <c r="B14" i="2"/>
  <c r="B13" i="2"/>
  <c r="B12" i="2"/>
  <c r="B9" i="2"/>
  <c r="B8" i="2"/>
  <c r="B7" i="2"/>
  <c r="B6" i="2"/>
  <c r="B5" i="2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M2" i="1"/>
</calcChain>
</file>

<file path=xl/sharedStrings.xml><?xml version="1.0" encoding="utf-8"?>
<sst xmlns="http://schemas.openxmlformats.org/spreadsheetml/2006/main" count="385" uniqueCount="195">
  <si>
    <t>Project ID</t>
  </si>
  <si>
    <t>Project Name</t>
  </si>
  <si>
    <t>Project Manager</t>
  </si>
  <si>
    <t>Business Unit</t>
  </si>
  <si>
    <t>Phase</t>
  </si>
  <si>
    <t>Priority</t>
  </si>
  <si>
    <t>Start Date</t>
  </si>
  <si>
    <t>End Date</t>
  </si>
  <si>
    <t>Planned Duration (Days)</t>
  </si>
  <si>
    <t>% Complete</t>
  </si>
  <si>
    <t>Budget (₹ Lakhs)</t>
  </si>
  <si>
    <t>Spent (₹ Lakhs)</t>
  </si>
  <si>
    <t>Budget Variance (₹ Lakhs)</t>
  </si>
  <si>
    <t>Planned Tasks</t>
  </si>
  <si>
    <t>Completed Tasks</t>
  </si>
  <si>
    <t>Open Issues</t>
  </si>
  <si>
    <t>RAG Status</t>
  </si>
  <si>
    <t>Notes</t>
  </si>
  <si>
    <t>PRJ-001</t>
  </si>
  <si>
    <t>Core Banking Modernization</t>
  </si>
  <si>
    <t>Anita Sharma</t>
  </si>
  <si>
    <t>Technology</t>
  </si>
  <si>
    <t>Execution</t>
  </si>
  <si>
    <t>High</t>
  </si>
  <si>
    <t>01-Jan-2025</t>
  </si>
  <si>
    <t>31-Dec-2025</t>
  </si>
  <si>
    <t>Green</t>
  </si>
  <si>
    <t>On track, Phase 2 go-live in Q3</t>
  </si>
  <si>
    <t>PRJ-002</t>
  </si>
  <si>
    <t>Regulatory Compliance Suite</t>
  </si>
  <si>
    <t>Rajesh Nair</t>
  </si>
  <si>
    <t>Risk &amp; Compliance</t>
  </si>
  <si>
    <t>Critical</t>
  </si>
  <si>
    <t>01-Mar-2025</t>
  </si>
  <si>
    <t>30-Sep-2025</t>
  </si>
  <si>
    <t>Amber</t>
  </si>
  <si>
    <t>Delay in vendor deliverable - watchlist</t>
  </si>
  <si>
    <t>PRJ-003</t>
  </si>
  <si>
    <t>Data Warehouse Migration</t>
  </si>
  <si>
    <t>Priya Menon</t>
  </si>
  <si>
    <t>Data &amp; Analytics</t>
  </si>
  <si>
    <t>Planning</t>
  </si>
  <si>
    <t>15-Apr-2025</t>
  </si>
  <si>
    <t>31-Mar-2026</t>
  </si>
  <si>
    <t>Kick-off done; resource onboarding in progress</t>
  </si>
  <si>
    <t>PRJ-004</t>
  </si>
  <si>
    <t>CRM Platform Upgrade</t>
  </si>
  <si>
    <t>Vikram Desai</t>
  </si>
  <si>
    <t>Sales &amp; Distribution</t>
  </si>
  <si>
    <t>Medium</t>
  </si>
  <si>
    <t>01-Feb-2025</t>
  </si>
  <si>
    <t>31-Aug-2025</t>
  </si>
  <si>
    <t>Integration testing delayed by 2 weeks</t>
  </si>
  <si>
    <t>PRJ-005</t>
  </si>
  <si>
    <t>HRMS Self-Service Portal</t>
  </si>
  <si>
    <t>Sunita Joshi</t>
  </si>
  <si>
    <t>HR</t>
  </si>
  <si>
    <t>UAT</t>
  </si>
  <si>
    <t>01-Nov-2024</t>
  </si>
  <si>
    <t>30-Jun-2025</t>
  </si>
  <si>
    <t>UAT sign-off expected by end of June</t>
  </si>
  <si>
    <t>PRJ-006</t>
  </si>
  <si>
    <t>Cybersecurity Enhancement</t>
  </si>
  <si>
    <t>Amit Kulkarni</t>
  </si>
  <si>
    <t>IT Security</t>
  </si>
  <si>
    <t>31-Oct-2025</t>
  </si>
  <si>
    <t>Red</t>
  </si>
  <si>
    <t>3 critical vulnerabilities open; escalated to CISO</t>
  </si>
  <si>
    <t>PRJ-007</t>
  </si>
  <si>
    <t>Mobile Banking App v3</t>
  </si>
  <si>
    <t>Neha Kapoor</t>
  </si>
  <si>
    <t>Digital Banking</t>
  </si>
  <si>
    <t>30-Nov-2025</t>
  </si>
  <si>
    <t>Feature freeze planned for Aug</t>
  </si>
  <si>
    <t>PRJ-008</t>
  </si>
  <si>
    <t>ERP Finance Module</t>
  </si>
  <si>
    <t>Ramesh Iyer</t>
  </si>
  <si>
    <t>Finance</t>
  </si>
  <si>
    <t>Initiation</t>
  </si>
  <si>
    <t>Low</t>
  </si>
  <si>
    <t>01-Jun-2025</t>
  </si>
  <si>
    <t>31-May-2026</t>
  </si>
  <si>
    <t>PMC charter approved; team being formed</t>
  </si>
  <si>
    <t>PRJ-009</t>
  </si>
  <si>
    <t>Cloud Infrastructure Setup</t>
  </si>
  <si>
    <t>Pooja Tiwari</t>
  </si>
  <si>
    <t>IT Infrastructure</t>
  </si>
  <si>
    <t>15-Feb-2025</t>
  </si>
  <si>
    <t>15-Aug-2025</t>
  </si>
  <si>
    <t>Budget overrun risk; mitigation plan in review</t>
  </si>
  <si>
    <t>PRJ-010</t>
  </si>
  <si>
    <t>Customer Analytics Platform</t>
  </si>
  <si>
    <t>Sanjay Mehta</t>
  </si>
  <si>
    <t>01-Apr-2025</t>
  </si>
  <si>
    <t>31-Jan-2026</t>
  </si>
  <si>
    <t>ML model training underway</t>
  </si>
  <si>
    <t>PRJ-011</t>
  </si>
  <si>
    <t>ATM Network Upgrade</t>
  </si>
  <si>
    <t>Kavita Rao</t>
  </si>
  <si>
    <t>Operations</t>
  </si>
  <si>
    <t>30 of 55 ATM locations completed</t>
  </si>
  <si>
    <t>PRJ-012</t>
  </si>
  <si>
    <t>Payment Gateway Integration</t>
  </si>
  <si>
    <t>Arjun Bose</t>
  </si>
  <si>
    <t>Payments</t>
  </si>
  <si>
    <t>Closed</t>
  </si>
  <si>
    <t>01-Oct-2024</t>
  </si>
  <si>
    <t>31-Mar-2025</t>
  </si>
  <si>
    <t>Successfully closed; post-implementation review done</t>
  </si>
  <si>
    <t>PRJ-013</t>
  </si>
  <si>
    <t>Fraud Detection AI</t>
  </si>
  <si>
    <t>Meera Pillai</t>
  </si>
  <si>
    <t>Model accuracy below threshold; rework in progress</t>
  </si>
  <si>
    <t>PRJ-014</t>
  </si>
  <si>
    <t>Branch Digitization</t>
  </si>
  <si>
    <t>Deepak Sharma</t>
  </si>
  <si>
    <t>01-May-2025</t>
  </si>
  <si>
    <t>30-Apr-2026</t>
  </si>
  <si>
    <t>Vendor shortlisting ongoing</t>
  </si>
  <si>
    <t>PRJ-015</t>
  </si>
  <si>
    <t>Treasury Management System</t>
  </si>
  <si>
    <t>Nalini Suresh</t>
  </si>
  <si>
    <t>15-Jan-2025</t>
  </si>
  <si>
    <t>15-Nov-2025</t>
  </si>
  <si>
    <t>Integration with Bloomberg feed delayed</t>
  </si>
  <si>
    <t>📊 Portfolio Summary Dashboard</t>
  </si>
  <si>
    <t>📁 Project Overview</t>
  </si>
  <si>
    <t>Total Projects</t>
  </si>
  <si>
    <t>Green Status</t>
  </si>
  <si>
    <t>Amber Status</t>
  </si>
  <si>
    <t>Red Status</t>
  </si>
  <si>
    <t>Closed Projects</t>
  </si>
  <si>
    <t>💰 Budget Overview</t>
  </si>
  <si>
    <t>Total Budget (₹ Lakhs)</t>
  </si>
  <si>
    <t>Total Spent (₹ Lakhs)</t>
  </si>
  <si>
    <t>Total Variance (₹ Lakhs)</t>
  </si>
  <si>
    <t>Budget Utilization %</t>
  </si>
  <si>
    <t>🚨 Risk &amp; Issues</t>
  </si>
  <si>
    <t>Critical Projects</t>
  </si>
  <si>
    <t>Total Open Issues</t>
  </si>
  <si>
    <t>Projects with Issues &gt; 5</t>
  </si>
  <si>
    <t>📅 Delivery Health</t>
  </si>
  <si>
    <t>Avg % Complete</t>
  </si>
  <si>
    <t>Projects &gt; 75% Complete</t>
  </si>
  <si>
    <t>Projects &lt; 20% Complete</t>
  </si>
  <si>
    <t>📊 Project Portfolio Insights Summary</t>
  </si>
  <si>
    <t>🔴 INSIGHT 1: Critical Projects Carry Highest Risk &amp; Issues</t>
  </si>
  <si>
    <t>The 3 Critical priority projects (Regulatory Compliance, Cybersecurity, Fraud Detection AI) account for ₹1,480 Lakhs (26% of total budget) but have 24 open issues combined—43% of all portfolio issues. The Cybersecurity Enhancement project is the only RED status project with 9 open issues and 3 critical vulnerabilities escalated to CISO.</t>
  </si>
  <si>
    <t>💰 INSIGHT 2: Low Budget Utilization (49%) Despite Projects Being 50% Through Timeline</t>
  </si>
  <si>
    <t>Total portfolio budget is ₹5,795 Lakhs with only ₹2,845 Lakhs spent (49.1%). Cloud Infrastructure Setup shows budget overrun risk (₹410L spent at 75% complete on ₹520L budget), while Data Warehouse Migration has significant unspent budget (₹390L variance at only 18% complete). This signals uneven execution pacing across the portfolio.</t>
  </si>
  <si>
    <t>⚠️ INSIGHT 3: 6 Projects (40%) Are Amber/Red – All in Execution Phase</t>
  </si>
  <si>
    <t>5 Amber + 1 Red projects represent ₹2,470 Lakhs (43% of budget). All 6 at-risk projects are in Execution phase, suggesting systemic delivery challenges—vendor delays, integration issues, and model accuracy problems. External dependencies are cited as root causes in multiple projects.</t>
  </si>
  <si>
    <t>🔍 Questions for Deeper Analysis</t>
  </si>
  <si>
    <t>1. Would you like a timeline/Gantt view of project delivery dates to identify scheduling conflicts?</t>
  </si>
  <si>
    <t>2. Should we analyze which Project Managers have the most at-risk projects?</t>
  </si>
  <si>
    <t>3. Would a budget burn-down forecast help identify which projects may exceed budget?</t>
  </si>
  <si>
    <t>4. Do you want to drill into Business Unit performance (e.g., Risk &amp; Compliance has 2 Amber projects)?</t>
  </si>
  <si>
    <t>5. Should we create a risk matrix plotting Open Issues vs Budget size to prioritize interventions?</t>
  </si>
  <si>
    <t>📅 Project Timeline / Gantt View</t>
  </si>
  <si>
    <t>RAG</t>
  </si>
  <si>
    <t>Oct'24</t>
  </si>
  <si>
    <t>Nov'24</t>
  </si>
  <si>
    <t>Dec'24</t>
  </si>
  <si>
    <t>Jan'25</t>
  </si>
  <si>
    <t>Feb'25</t>
  </si>
  <si>
    <t>Mar'25</t>
  </si>
  <si>
    <t>Apr'25</t>
  </si>
  <si>
    <t>May'25</t>
  </si>
  <si>
    <t>Jun'25</t>
  </si>
  <si>
    <t>Jul'25</t>
  </si>
  <si>
    <t>Aug'25</t>
  </si>
  <si>
    <t>Sep'25</t>
  </si>
  <si>
    <t>Oct'25</t>
  </si>
  <si>
    <t>Nov'25</t>
  </si>
  <si>
    <t>Dec'25</t>
  </si>
  <si>
    <t>Jan'26</t>
  </si>
  <si>
    <t>Feb'26</t>
  </si>
  <si>
    <t>Mar'26</t>
  </si>
  <si>
    <t>Apr'26</t>
  </si>
  <si>
    <t>May'26</t>
  </si>
  <si>
    <t>Start</t>
  </si>
  <si>
    <t>End</t>
  </si>
  <si>
    <t>Days</t>
  </si>
  <si>
    <t>%Done</t>
  </si>
  <si>
    <t>█</t>
  </si>
  <si>
    <t>📍 Today: May 28, 2025</t>
  </si>
  <si>
    <t>Legend:</t>
  </si>
  <si>
    <t>█ Green</t>
  </si>
  <si>
    <t>█ Amber</t>
  </si>
  <si>
    <t>█ Red</t>
  </si>
  <si>
    <t>⚠️ Scheduling Observations</t>
  </si>
  <si>
    <t>• Peak Overlap (Mar-Sep 2025): 11 projects running concurrently — high resource contention risk</t>
  </si>
  <si>
    <t>• Q3 2025 Crunch: 6 projects ending Aug-Oct including 2 Critical priority — potential delivery bottleneck</t>
  </si>
  <si>
    <t>• At-Risk Projects (Amber/Red): All concentrated in execution phase with overlapping timelines</t>
  </si>
  <si>
    <t>• Long-running projects (Data Warehouse, ERP Finance, Branch Digitization) extend well into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</si>
</sst>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name val="Calibri"/>
    </font>
    <font>
      <b/>
      <sz val="10"/>
      <color rgb="FF375623"/>
      <name val="Calibri"/>
    </font>
    <font>
      <b/>
      <sz val="10"/>
      <color rgb="FF9C6500"/>
      <name val="Calibri"/>
    </font>
    <font>
      <b/>
      <sz val="10"/>
      <color rgb="FF9C0006"/>
      <name val="Calibri"/>
    </font>
    <font>
      <b/>
      <sz val="14"/>
      <color rgb="FF1F3864"/>
      <name val="Calibri"/>
    </font>
    <font>
      <sz val="11"/>
      <name val="Calibri"/>
    </font>
    <font>
      <b/>
      <sz val="11"/>
      <color rgb="FF1F3864"/>
      <name val="Calibri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FF8C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color rgb="FF228B22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EF2F7"/>
      </patternFill>
    </fill>
    <fill>
      <patternFill patternType="solid">
        <fgColor rgb="FFC6EFCE"/>
      </patternFill>
    </fill>
    <fill>
      <patternFill patternType="solid">
        <fgColor rgb="FFFFFFFF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D9E1F2"/>
      </patternFill>
    </fill>
    <fill>
      <patternFill patternType="solid">
        <fgColor rgb="FF1F4E7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FFACD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8" fillId="8" borderId="1" xfId="0" applyFont="1" applyFill="1" applyBorder="1" applyAlignment="1">
      <alignment vertical="center"/>
    </xf>
    <xf numFmtId="0" fontId="0" fillId="0" borderId="0" xfId="0"/>
    <xf numFmtId="0" fontId="6" fillId="0" borderId="0" xfId="0" applyFont="1" applyAlignment="1">
      <alignment horizontal="center"/>
    </xf>
    <xf numFmtId="0" fontId="11" fillId="0" borderId="0" xfId="0" applyFont="1"/>
    <xf numFmtId="0" fontId="12" fillId="9" borderId="0" xfId="0" applyFont="1" applyFill="1"/>
    <xf numFmtId="0" fontId="10" fillId="0" borderId="0" xfId="0" applyFont="1"/>
    <xf numFmtId="0" fontId="10" fillId="10" borderId="0" xfId="0" applyFont="1" applyFill="1"/>
    <xf numFmtId="0" fontId="0" fillId="0" borderId="0" xfId="0" applyAlignment="1">
      <alignment wrapText="1"/>
    </xf>
    <xf numFmtId="0" fontId="10" fillId="11" borderId="0" xfId="0" applyFont="1" applyFill="1"/>
    <xf numFmtId="0" fontId="10" fillId="12" borderId="0" xfId="0" applyFont="1" applyFill="1"/>
    <xf numFmtId="0" fontId="10" fillId="13" borderId="0" xfId="0" applyFont="1" applyFill="1"/>
    <xf numFmtId="0" fontId="13" fillId="14" borderId="0" xfId="0" applyFont="1" applyFill="1"/>
    <xf numFmtId="15" fontId="0" fillId="0" borderId="0" xfId="0" applyNumberFormat="1"/>
    <xf numFmtId="9" fontId="0" fillId="0" borderId="0" xfId="0" applyNumberFormat="1"/>
    <xf numFmtId="0" fontId="13" fillId="14" borderId="0" xfId="0" applyFont="1" applyFill="1" applyAlignment="1">
      <alignment horizontal="center"/>
    </xf>
    <xf numFmtId="0" fontId="9" fillId="0" borderId="0" xfId="0" applyFont="1"/>
    <xf numFmtId="0" fontId="14" fillId="0" borderId="0" xfId="0" applyFont="1"/>
    <xf numFmtId="0" fontId="13" fillId="15" borderId="0" xfId="0" applyFont="1" applyFill="1" applyAlignment="1">
      <alignment horizontal="center"/>
    </xf>
    <xf numFmtId="0" fontId="0" fillId="15" borderId="0" xfId="0" applyFill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0" fillId="16" borderId="0" xfId="0" applyFill="1"/>
    <xf numFmtId="15" fontId="0" fillId="16" borderId="0" xfId="0" applyNumberFormat="1" applyFill="1"/>
    <xf numFmtId="9" fontId="0" fillId="16" borderId="0" xfId="0" applyNumberFormat="1" applyFill="1"/>
  </cellXfs>
  <cellStyles count="1">
    <cellStyle name="Normal" xfId="0" builtinId="0"/>
  </cellStyles>
  <dxfs count="6">
    <dxf>
      <font>
        <color rgb="FF006600"/>
      </font>
      <fill>
        <patternFill patternType="solid">
          <fgColor indexed="64"/>
          <bgColor rgb="FFD9EAD3"/>
        </patternFill>
      </fill>
    </dxf>
    <dxf>
      <font>
        <color rgb="FFCC6600"/>
      </font>
      <fill>
        <patternFill patternType="solid">
          <fgColor indexed="64"/>
          <bgColor rgb="FFFFE6CC"/>
        </patternFill>
      </fill>
    </dxf>
    <dxf>
      <font>
        <b/>
        <i val="0"/>
        <color rgb="FFC00000"/>
      </font>
      <fill>
        <patternFill patternType="solid">
          <fgColor indexed="64"/>
          <bgColor rgb="FFFFCCCC"/>
        </patternFill>
      </fill>
    </dxf>
    <dxf>
      <font>
        <color rgb="FF228B22"/>
      </font>
    </dxf>
    <dxf>
      <font>
        <color rgb="FFFF8C00"/>
      </font>
    </dxf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m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2159000</xdr:rowOff>
    </xdr:from>
    <xdr:to>
      <xdr:col>9</xdr:col>
      <xdr:colOff>584200</xdr:colOff>
      <xdr:row>21</xdr:row>
      <xdr:rowOff>31750</xdr:rowOff>
    </xdr:to>
    <xdr:pic>
      <xdr:nvPicPr>
        <xdr:cNvPr id="2" name="RiskChart">
          <a:extLst>
            <a:ext uri="{FF2B5EF4-FFF2-40B4-BE49-F238E27FC236}">
              <a16:creationId xmlns:a16="http://schemas.microsoft.com/office/drawing/2014/main" id="{942F371E-A939-5ED9-861E-E46DF8296F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94000"/>
          <a:ext cx="6985000" cy="406400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6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0" customWidth="1"/>
    <col min="2" max="2" width="32" customWidth="1"/>
    <col min="3" max="3" width="18" customWidth="1"/>
    <col min="4" max="4" width="22" customWidth="1"/>
    <col min="5" max="5" width="12" customWidth="1"/>
    <col min="6" max="6" width="10" customWidth="1"/>
    <col min="7" max="8" width="13" customWidth="1"/>
    <col min="9" max="9" width="20" customWidth="1"/>
    <col min="10" max="10" width="12" customWidth="1"/>
    <col min="11" max="12" width="16" customWidth="1"/>
    <col min="13" max="13" width="20" customWidth="1"/>
    <col min="14" max="14" width="14" customWidth="1"/>
    <col min="15" max="15" width="16" customWidth="1"/>
    <col min="16" max="16" width="14" customWidth="1"/>
    <col min="17" max="17" width="12" customWidth="1"/>
    <col min="18" max="18" width="42" customWidth="1"/>
  </cols>
  <sheetData>
    <row r="1" spans="1:18" ht="32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5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>
        <v>365</v>
      </c>
      <c r="J2" s="2">
        <v>62</v>
      </c>
      <c r="K2" s="2">
        <v>850</v>
      </c>
      <c r="L2" s="2">
        <v>530</v>
      </c>
      <c r="M2" s="3">
        <f t="shared" ref="M2:M16" si="0">K2-L2</f>
        <v>320</v>
      </c>
      <c r="N2" s="2">
        <v>48</v>
      </c>
      <c r="O2" s="2">
        <v>30</v>
      </c>
      <c r="P2" s="2">
        <v>3</v>
      </c>
      <c r="Q2" s="4" t="s">
        <v>26</v>
      </c>
      <c r="R2" s="2" t="s">
        <v>27</v>
      </c>
    </row>
    <row r="3" spans="1:18" x14ac:dyDescent="0.35">
      <c r="A3" s="5" t="s">
        <v>28</v>
      </c>
      <c r="B3" s="5" t="s">
        <v>29</v>
      </c>
      <c r="C3" s="5" t="s">
        <v>30</v>
      </c>
      <c r="D3" s="5" t="s">
        <v>31</v>
      </c>
      <c r="E3" s="5" t="s">
        <v>22</v>
      </c>
      <c r="F3" s="5" t="s">
        <v>32</v>
      </c>
      <c r="G3" s="5" t="s">
        <v>33</v>
      </c>
      <c r="H3" s="5" t="s">
        <v>34</v>
      </c>
      <c r="I3" s="5">
        <v>214</v>
      </c>
      <c r="J3" s="5">
        <v>45</v>
      </c>
      <c r="K3" s="5">
        <v>320</v>
      </c>
      <c r="L3" s="5">
        <v>160</v>
      </c>
      <c r="M3" s="3">
        <f t="shared" si="0"/>
        <v>160</v>
      </c>
      <c r="N3" s="5">
        <v>30</v>
      </c>
      <c r="O3" s="5">
        <v>14</v>
      </c>
      <c r="P3" s="5">
        <v>7</v>
      </c>
      <c r="Q3" s="6" t="s">
        <v>35</v>
      </c>
      <c r="R3" s="5" t="s">
        <v>36</v>
      </c>
    </row>
    <row r="4" spans="1:18" x14ac:dyDescent="0.35">
      <c r="A4" s="2" t="s">
        <v>37</v>
      </c>
      <c r="B4" s="2" t="s">
        <v>38</v>
      </c>
      <c r="C4" s="2" t="s">
        <v>39</v>
      </c>
      <c r="D4" s="2" t="s">
        <v>40</v>
      </c>
      <c r="E4" s="2" t="s">
        <v>41</v>
      </c>
      <c r="F4" s="2" t="s">
        <v>23</v>
      </c>
      <c r="G4" s="2" t="s">
        <v>42</v>
      </c>
      <c r="H4" s="2" t="s">
        <v>43</v>
      </c>
      <c r="I4" s="2">
        <v>351</v>
      </c>
      <c r="J4" s="2">
        <v>18</v>
      </c>
      <c r="K4" s="2">
        <v>480</v>
      </c>
      <c r="L4" s="2">
        <v>90</v>
      </c>
      <c r="M4" s="3">
        <f t="shared" si="0"/>
        <v>390</v>
      </c>
      <c r="N4" s="2">
        <v>60</v>
      </c>
      <c r="O4" s="2">
        <v>11</v>
      </c>
      <c r="P4" s="2">
        <v>2</v>
      </c>
      <c r="Q4" s="4" t="s">
        <v>26</v>
      </c>
      <c r="R4" s="2" t="s">
        <v>44</v>
      </c>
    </row>
    <row r="5" spans="1:18" x14ac:dyDescent="0.35">
      <c r="A5" s="5" t="s">
        <v>45</v>
      </c>
      <c r="B5" s="5" t="s">
        <v>46</v>
      </c>
      <c r="C5" s="5" t="s">
        <v>47</v>
      </c>
      <c r="D5" s="5" t="s">
        <v>48</v>
      </c>
      <c r="E5" s="5" t="s">
        <v>22</v>
      </c>
      <c r="F5" s="5" t="s">
        <v>49</v>
      </c>
      <c r="G5" s="5" t="s">
        <v>50</v>
      </c>
      <c r="H5" s="5" t="s">
        <v>51</v>
      </c>
      <c r="I5" s="5">
        <v>212</v>
      </c>
      <c r="J5" s="5">
        <v>70</v>
      </c>
      <c r="K5" s="5">
        <v>220</v>
      </c>
      <c r="L5" s="5">
        <v>165</v>
      </c>
      <c r="M5" s="3">
        <f t="shared" si="0"/>
        <v>55</v>
      </c>
      <c r="N5" s="5">
        <v>40</v>
      </c>
      <c r="O5" s="5">
        <v>28</v>
      </c>
      <c r="P5" s="5">
        <v>5</v>
      </c>
      <c r="Q5" s="6" t="s">
        <v>35</v>
      </c>
      <c r="R5" s="5" t="s">
        <v>52</v>
      </c>
    </row>
    <row r="6" spans="1:18" x14ac:dyDescent="0.35">
      <c r="A6" s="2" t="s">
        <v>53</v>
      </c>
      <c r="B6" s="2" t="s">
        <v>54</v>
      </c>
      <c r="C6" s="2" t="s">
        <v>55</v>
      </c>
      <c r="D6" s="2" t="s">
        <v>56</v>
      </c>
      <c r="E6" s="2" t="s">
        <v>57</v>
      </c>
      <c r="F6" s="2" t="s">
        <v>49</v>
      </c>
      <c r="G6" s="2" t="s">
        <v>58</v>
      </c>
      <c r="H6" s="2" t="s">
        <v>59</v>
      </c>
      <c r="I6" s="2">
        <v>241</v>
      </c>
      <c r="J6" s="2">
        <v>88</v>
      </c>
      <c r="K6" s="2">
        <v>110</v>
      </c>
      <c r="L6" s="2">
        <v>100</v>
      </c>
      <c r="M6" s="3">
        <f t="shared" si="0"/>
        <v>10</v>
      </c>
      <c r="N6" s="2">
        <v>35</v>
      </c>
      <c r="O6" s="2">
        <v>31</v>
      </c>
      <c r="P6" s="2">
        <v>1</v>
      </c>
      <c r="Q6" s="4" t="s">
        <v>26</v>
      </c>
      <c r="R6" s="2" t="s">
        <v>60</v>
      </c>
    </row>
    <row r="7" spans="1:18" x14ac:dyDescent="0.35">
      <c r="A7" s="5" t="s">
        <v>61</v>
      </c>
      <c r="B7" s="5" t="s">
        <v>62</v>
      </c>
      <c r="C7" s="5" t="s">
        <v>63</v>
      </c>
      <c r="D7" s="5" t="s">
        <v>64</v>
      </c>
      <c r="E7" s="5" t="s">
        <v>22</v>
      </c>
      <c r="F7" s="5" t="s">
        <v>32</v>
      </c>
      <c r="G7" s="5" t="s">
        <v>24</v>
      </c>
      <c r="H7" s="5" t="s">
        <v>65</v>
      </c>
      <c r="I7" s="5">
        <v>304</v>
      </c>
      <c r="J7" s="5">
        <v>50</v>
      </c>
      <c r="K7" s="5">
        <v>600</v>
      </c>
      <c r="L7" s="5">
        <v>310</v>
      </c>
      <c r="M7" s="3">
        <f t="shared" si="0"/>
        <v>290</v>
      </c>
      <c r="N7" s="5">
        <v>50</v>
      </c>
      <c r="O7" s="5">
        <v>25</v>
      </c>
      <c r="P7" s="5">
        <v>9</v>
      </c>
      <c r="Q7" s="7" t="s">
        <v>66</v>
      </c>
      <c r="R7" s="5" t="s">
        <v>67</v>
      </c>
    </row>
    <row r="8" spans="1:18" x14ac:dyDescent="0.35">
      <c r="A8" s="2" t="s">
        <v>68</v>
      </c>
      <c r="B8" s="2" t="s">
        <v>69</v>
      </c>
      <c r="C8" s="2" t="s">
        <v>70</v>
      </c>
      <c r="D8" s="2" t="s">
        <v>71</v>
      </c>
      <c r="E8" s="2" t="s">
        <v>22</v>
      </c>
      <c r="F8" s="2" t="s">
        <v>23</v>
      </c>
      <c r="G8" s="2" t="s">
        <v>33</v>
      </c>
      <c r="H8" s="2" t="s">
        <v>72</v>
      </c>
      <c r="I8" s="2">
        <v>275</v>
      </c>
      <c r="J8" s="2">
        <v>40</v>
      </c>
      <c r="K8" s="2">
        <v>375</v>
      </c>
      <c r="L8" s="2">
        <v>150</v>
      </c>
      <c r="M8" s="3">
        <f t="shared" si="0"/>
        <v>225</v>
      </c>
      <c r="N8" s="2">
        <v>44</v>
      </c>
      <c r="O8" s="2">
        <v>18</v>
      </c>
      <c r="P8" s="2">
        <v>4</v>
      </c>
      <c r="Q8" s="4" t="s">
        <v>26</v>
      </c>
      <c r="R8" s="2" t="s">
        <v>73</v>
      </c>
    </row>
    <row r="9" spans="1:18" x14ac:dyDescent="0.35">
      <c r="A9" s="5" t="s">
        <v>74</v>
      </c>
      <c r="B9" s="5" t="s">
        <v>75</v>
      </c>
      <c r="C9" s="5" t="s">
        <v>76</v>
      </c>
      <c r="D9" s="5" t="s">
        <v>77</v>
      </c>
      <c r="E9" s="5" t="s">
        <v>78</v>
      </c>
      <c r="F9" s="5" t="s">
        <v>79</v>
      </c>
      <c r="G9" s="5" t="s">
        <v>80</v>
      </c>
      <c r="H9" s="5" t="s">
        <v>81</v>
      </c>
      <c r="I9" s="5">
        <v>365</v>
      </c>
      <c r="J9" s="5">
        <v>5</v>
      </c>
      <c r="K9" s="5">
        <v>290</v>
      </c>
      <c r="L9" s="5">
        <v>15</v>
      </c>
      <c r="M9" s="3">
        <f t="shared" si="0"/>
        <v>275</v>
      </c>
      <c r="N9" s="5">
        <v>20</v>
      </c>
      <c r="O9" s="5">
        <v>1</v>
      </c>
      <c r="P9" s="5">
        <v>0</v>
      </c>
      <c r="Q9" s="4" t="s">
        <v>26</v>
      </c>
      <c r="R9" s="5" t="s">
        <v>82</v>
      </c>
    </row>
    <row r="10" spans="1:18" x14ac:dyDescent="0.35">
      <c r="A10" s="2" t="s">
        <v>83</v>
      </c>
      <c r="B10" s="2" t="s">
        <v>84</v>
      </c>
      <c r="C10" s="2" t="s">
        <v>85</v>
      </c>
      <c r="D10" s="2" t="s">
        <v>86</v>
      </c>
      <c r="E10" s="2" t="s">
        <v>22</v>
      </c>
      <c r="F10" s="2" t="s">
        <v>23</v>
      </c>
      <c r="G10" s="2" t="s">
        <v>87</v>
      </c>
      <c r="H10" s="2" t="s">
        <v>88</v>
      </c>
      <c r="I10" s="2">
        <v>181</v>
      </c>
      <c r="J10" s="2">
        <v>75</v>
      </c>
      <c r="K10" s="2">
        <v>520</v>
      </c>
      <c r="L10" s="2">
        <v>410</v>
      </c>
      <c r="M10" s="3">
        <f t="shared" si="0"/>
        <v>110</v>
      </c>
      <c r="N10" s="2">
        <v>36</v>
      </c>
      <c r="O10" s="2">
        <v>27</v>
      </c>
      <c r="P10" s="2">
        <v>6</v>
      </c>
      <c r="Q10" s="6" t="s">
        <v>35</v>
      </c>
      <c r="R10" s="2" t="s">
        <v>89</v>
      </c>
    </row>
    <row r="11" spans="1:18" x14ac:dyDescent="0.35">
      <c r="A11" s="5" t="s">
        <v>90</v>
      </c>
      <c r="B11" s="5" t="s">
        <v>91</v>
      </c>
      <c r="C11" s="5" t="s">
        <v>92</v>
      </c>
      <c r="D11" s="5" t="s">
        <v>40</v>
      </c>
      <c r="E11" s="5" t="s">
        <v>22</v>
      </c>
      <c r="F11" s="5" t="s">
        <v>23</v>
      </c>
      <c r="G11" s="5" t="s">
        <v>93</v>
      </c>
      <c r="H11" s="5" t="s">
        <v>94</v>
      </c>
      <c r="I11" s="5">
        <v>306</v>
      </c>
      <c r="J11" s="5">
        <v>30</v>
      </c>
      <c r="K11" s="5">
        <v>410</v>
      </c>
      <c r="L11" s="5">
        <v>125</v>
      </c>
      <c r="M11" s="3">
        <f t="shared" si="0"/>
        <v>285</v>
      </c>
      <c r="N11" s="5">
        <v>55</v>
      </c>
      <c r="O11" s="5">
        <v>17</v>
      </c>
      <c r="P11" s="5">
        <v>2</v>
      </c>
      <c r="Q11" s="4" t="s">
        <v>26</v>
      </c>
      <c r="R11" s="5" t="s">
        <v>95</v>
      </c>
    </row>
    <row r="12" spans="1:18" x14ac:dyDescent="0.35">
      <c r="A12" s="2" t="s">
        <v>96</v>
      </c>
      <c r="B12" s="2" t="s">
        <v>97</v>
      </c>
      <c r="C12" s="2" t="s">
        <v>98</v>
      </c>
      <c r="D12" s="2" t="s">
        <v>99</v>
      </c>
      <c r="E12" s="2" t="s">
        <v>22</v>
      </c>
      <c r="F12" s="2" t="s">
        <v>49</v>
      </c>
      <c r="G12" s="2" t="s">
        <v>33</v>
      </c>
      <c r="H12" s="2" t="s">
        <v>34</v>
      </c>
      <c r="I12" s="2">
        <v>214</v>
      </c>
      <c r="J12" s="2">
        <v>55</v>
      </c>
      <c r="K12" s="2">
        <v>180</v>
      </c>
      <c r="L12" s="2">
        <v>102</v>
      </c>
      <c r="M12" s="3">
        <f t="shared" si="0"/>
        <v>78</v>
      </c>
      <c r="N12" s="2">
        <v>30</v>
      </c>
      <c r="O12" s="2">
        <v>17</v>
      </c>
      <c r="P12" s="2">
        <v>3</v>
      </c>
      <c r="Q12" s="4" t="s">
        <v>26</v>
      </c>
      <c r="R12" s="2" t="s">
        <v>100</v>
      </c>
    </row>
    <row r="13" spans="1:18" x14ac:dyDescent="0.35">
      <c r="A13" s="5" t="s">
        <v>101</v>
      </c>
      <c r="B13" s="5" t="s">
        <v>102</v>
      </c>
      <c r="C13" s="5" t="s">
        <v>103</v>
      </c>
      <c r="D13" s="5" t="s">
        <v>104</v>
      </c>
      <c r="E13" s="5" t="s">
        <v>105</v>
      </c>
      <c r="F13" s="5" t="s">
        <v>23</v>
      </c>
      <c r="G13" s="5" t="s">
        <v>106</v>
      </c>
      <c r="H13" s="5" t="s">
        <v>107</v>
      </c>
      <c r="I13" s="5">
        <v>182</v>
      </c>
      <c r="J13" s="5">
        <v>100</v>
      </c>
      <c r="K13" s="5">
        <v>150</v>
      </c>
      <c r="L13" s="5">
        <v>148</v>
      </c>
      <c r="M13" s="3">
        <f t="shared" si="0"/>
        <v>2</v>
      </c>
      <c r="N13" s="5">
        <v>28</v>
      </c>
      <c r="O13" s="5">
        <v>28</v>
      </c>
      <c r="P13" s="5">
        <v>0</v>
      </c>
      <c r="Q13" s="4" t="s">
        <v>26</v>
      </c>
      <c r="R13" s="5" t="s">
        <v>108</v>
      </c>
    </row>
    <row r="14" spans="1:18" x14ac:dyDescent="0.35">
      <c r="A14" s="2" t="s">
        <v>109</v>
      </c>
      <c r="B14" s="2" t="s">
        <v>110</v>
      </c>
      <c r="C14" s="2" t="s">
        <v>111</v>
      </c>
      <c r="D14" s="2" t="s">
        <v>31</v>
      </c>
      <c r="E14" s="2" t="s">
        <v>22</v>
      </c>
      <c r="F14" s="2" t="s">
        <v>32</v>
      </c>
      <c r="G14" s="2" t="s">
        <v>50</v>
      </c>
      <c r="H14" s="2" t="s">
        <v>25</v>
      </c>
      <c r="I14" s="2">
        <v>334</v>
      </c>
      <c r="J14" s="2">
        <v>38</v>
      </c>
      <c r="K14" s="2">
        <v>560</v>
      </c>
      <c r="L14" s="2">
        <v>215</v>
      </c>
      <c r="M14" s="3">
        <f t="shared" si="0"/>
        <v>345</v>
      </c>
      <c r="N14" s="2">
        <v>42</v>
      </c>
      <c r="O14" s="2">
        <v>16</v>
      </c>
      <c r="P14" s="2">
        <v>8</v>
      </c>
      <c r="Q14" s="6" t="s">
        <v>35</v>
      </c>
      <c r="R14" s="2" t="s">
        <v>112</v>
      </c>
    </row>
    <row r="15" spans="1:18" x14ac:dyDescent="0.35">
      <c r="A15" s="5" t="s">
        <v>113</v>
      </c>
      <c r="B15" s="5" t="s">
        <v>114</v>
      </c>
      <c r="C15" s="5" t="s">
        <v>115</v>
      </c>
      <c r="D15" s="5" t="s">
        <v>99</v>
      </c>
      <c r="E15" s="5" t="s">
        <v>41</v>
      </c>
      <c r="F15" s="5" t="s">
        <v>49</v>
      </c>
      <c r="G15" s="5" t="s">
        <v>116</v>
      </c>
      <c r="H15" s="5" t="s">
        <v>117</v>
      </c>
      <c r="I15" s="5">
        <v>365</v>
      </c>
      <c r="J15" s="5">
        <v>10</v>
      </c>
      <c r="K15" s="5">
        <v>240</v>
      </c>
      <c r="L15" s="5">
        <v>25</v>
      </c>
      <c r="M15" s="3">
        <f t="shared" si="0"/>
        <v>215</v>
      </c>
      <c r="N15" s="5">
        <v>40</v>
      </c>
      <c r="O15" s="5">
        <v>4</v>
      </c>
      <c r="P15" s="5">
        <v>1</v>
      </c>
      <c r="Q15" s="4" t="s">
        <v>26</v>
      </c>
      <c r="R15" s="5" t="s">
        <v>118</v>
      </c>
    </row>
    <row r="16" spans="1:18" x14ac:dyDescent="0.35">
      <c r="A16" s="2" t="s">
        <v>119</v>
      </c>
      <c r="B16" s="2" t="s">
        <v>120</v>
      </c>
      <c r="C16" s="2" t="s">
        <v>121</v>
      </c>
      <c r="D16" s="2" t="s">
        <v>77</v>
      </c>
      <c r="E16" s="2" t="s">
        <v>22</v>
      </c>
      <c r="F16" s="2" t="s">
        <v>23</v>
      </c>
      <c r="G16" s="2" t="s">
        <v>122</v>
      </c>
      <c r="H16" s="2" t="s">
        <v>123</v>
      </c>
      <c r="I16" s="2">
        <v>305</v>
      </c>
      <c r="J16" s="2">
        <v>60</v>
      </c>
      <c r="K16" s="2">
        <v>490</v>
      </c>
      <c r="L16" s="2">
        <v>300</v>
      </c>
      <c r="M16" s="3">
        <f t="shared" si="0"/>
        <v>190</v>
      </c>
      <c r="N16" s="2">
        <v>38</v>
      </c>
      <c r="O16" s="2">
        <v>23</v>
      </c>
      <c r="P16" s="2">
        <v>5</v>
      </c>
      <c r="Q16" s="6" t="s">
        <v>35</v>
      </c>
      <c r="R16" s="2" t="s">
        <v>124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5"/>
  <sheetViews>
    <sheetView workbookViewId="0">
      <pane ySplit="2" topLeftCell="A3" activePane="bottomLeft" state="frozen"/>
      <selection pane="bottomLeft" sqref="A1:D1"/>
    </sheetView>
  </sheetViews>
  <sheetFormatPr defaultRowHeight="14.5" x14ac:dyDescent="0.35"/>
  <cols>
    <col min="1" max="1" width="32" customWidth="1"/>
    <col min="2" max="2" width="20" customWidth="1"/>
  </cols>
  <sheetData>
    <row r="1" spans="1:4" ht="30" customHeight="1" x14ac:dyDescent="0.45">
      <c r="A1" s="12" t="s">
        <v>125</v>
      </c>
      <c r="B1" s="11"/>
      <c r="C1" s="11"/>
      <c r="D1" s="11"/>
    </row>
    <row r="3" spans="1:4" ht="20" customHeight="1" x14ac:dyDescent="0.35">
      <c r="A3" s="8"/>
      <c r="B3" s="9"/>
    </row>
    <row r="4" spans="1:4" ht="20" customHeight="1" x14ac:dyDescent="0.35">
      <c r="A4" s="10" t="s">
        <v>126</v>
      </c>
      <c r="B4" s="11"/>
    </row>
    <row r="5" spans="1:4" ht="20" customHeight="1" x14ac:dyDescent="0.35">
      <c r="A5" s="8" t="s">
        <v>127</v>
      </c>
      <c r="B5" s="9">
        <f>COUNTA('Project Portfolio'!A2:A16)</f>
        <v>15</v>
      </c>
    </row>
    <row r="6" spans="1:4" ht="20" customHeight="1" x14ac:dyDescent="0.35">
      <c r="A6" s="8" t="s">
        <v>128</v>
      </c>
      <c r="B6" s="9">
        <f>COUNTIF('Project Portfolio'!Q2:Q16,"Green")</f>
        <v>9</v>
      </c>
    </row>
    <row r="7" spans="1:4" ht="20" customHeight="1" x14ac:dyDescent="0.35">
      <c r="A7" s="8" t="s">
        <v>129</v>
      </c>
      <c r="B7" s="9">
        <f>COUNTIF('Project Portfolio'!Q2:Q16,"Amber")</f>
        <v>5</v>
      </c>
    </row>
    <row r="8" spans="1:4" ht="20" customHeight="1" x14ac:dyDescent="0.35">
      <c r="A8" s="8" t="s">
        <v>130</v>
      </c>
      <c r="B8" s="9">
        <f>COUNTIF('Project Portfolio'!Q2:Q16,"Red")</f>
        <v>1</v>
      </c>
    </row>
    <row r="9" spans="1:4" ht="20" customHeight="1" x14ac:dyDescent="0.35">
      <c r="A9" s="8" t="s">
        <v>131</v>
      </c>
      <c r="B9" s="9">
        <f>COUNTIF('Project Portfolio'!E2:E16,"Closed")</f>
        <v>1</v>
      </c>
    </row>
    <row r="10" spans="1:4" ht="20" customHeight="1" x14ac:dyDescent="0.35">
      <c r="A10" s="8"/>
      <c r="B10" s="9"/>
    </row>
    <row r="11" spans="1:4" ht="20" customHeight="1" x14ac:dyDescent="0.35">
      <c r="A11" s="10" t="s">
        <v>132</v>
      </c>
      <c r="B11" s="11"/>
    </row>
    <row r="12" spans="1:4" ht="20" customHeight="1" x14ac:dyDescent="0.35">
      <c r="A12" s="8" t="s">
        <v>133</v>
      </c>
      <c r="B12" s="9">
        <f>SUM('Project Portfolio'!K2:K16)</f>
        <v>5795</v>
      </c>
    </row>
    <row r="13" spans="1:4" ht="20" customHeight="1" x14ac:dyDescent="0.35">
      <c r="A13" s="8" t="s">
        <v>134</v>
      </c>
      <c r="B13" s="9">
        <f>SUM('Project Portfolio'!L2:L16)</f>
        <v>2845</v>
      </c>
    </row>
    <row r="14" spans="1:4" ht="20" customHeight="1" x14ac:dyDescent="0.35">
      <c r="A14" s="8" t="s">
        <v>135</v>
      </c>
      <c r="B14" s="9">
        <f>SUM('Project Portfolio'!M2:M16)</f>
        <v>2950</v>
      </c>
    </row>
    <row r="15" spans="1:4" ht="20" customHeight="1" x14ac:dyDescent="0.35">
      <c r="A15" s="8" t="s">
        <v>136</v>
      </c>
      <c r="B15" s="9">
        <f>ROUND(SUM('Project Portfolio'!L2:L16)/SUM('Project Portfolio'!K2:K16)*100,1)</f>
        <v>49.1</v>
      </c>
    </row>
    <row r="16" spans="1:4" ht="20" customHeight="1" x14ac:dyDescent="0.35">
      <c r="A16" s="8"/>
      <c r="B16" s="9"/>
    </row>
    <row r="17" spans="1:2" ht="20" customHeight="1" x14ac:dyDescent="0.35">
      <c r="A17" s="10" t="s">
        <v>137</v>
      </c>
      <c r="B17" s="11"/>
    </row>
    <row r="18" spans="1:2" ht="20" customHeight="1" x14ac:dyDescent="0.35">
      <c r="A18" s="8" t="s">
        <v>138</v>
      </c>
      <c r="B18" s="9">
        <f>COUNTIF('Project Portfolio'!F2:F16,"Critical")</f>
        <v>3</v>
      </c>
    </row>
    <row r="19" spans="1:2" ht="20" customHeight="1" x14ac:dyDescent="0.35">
      <c r="A19" s="8" t="s">
        <v>139</v>
      </c>
      <c r="B19" s="9">
        <f>SUM('Project Portfolio'!P2:P16)</f>
        <v>56</v>
      </c>
    </row>
    <row r="20" spans="1:2" ht="20" customHeight="1" x14ac:dyDescent="0.35">
      <c r="A20" s="8" t="s">
        <v>140</v>
      </c>
      <c r="B20" s="9">
        <f>COUNTIF('Project Portfolio'!P2:P16,"&gt;5")</f>
        <v>4</v>
      </c>
    </row>
    <row r="21" spans="1:2" ht="20" customHeight="1" x14ac:dyDescent="0.35">
      <c r="A21" s="8"/>
      <c r="B21" s="9"/>
    </row>
    <row r="22" spans="1:2" ht="20" customHeight="1" x14ac:dyDescent="0.35">
      <c r="A22" s="10" t="s">
        <v>141</v>
      </c>
      <c r="B22" s="11"/>
    </row>
    <row r="23" spans="1:2" ht="20" customHeight="1" x14ac:dyDescent="0.35">
      <c r="A23" s="8" t="s">
        <v>142</v>
      </c>
      <c r="B23" s="9">
        <f>ROUND(AVERAGE('Project Portfolio'!J2:J16),1)</f>
        <v>49.7</v>
      </c>
    </row>
    <row r="24" spans="1:2" ht="20" customHeight="1" x14ac:dyDescent="0.35">
      <c r="A24" s="8" t="s">
        <v>143</v>
      </c>
      <c r="B24" s="9">
        <f>COUNTIF('Project Portfolio'!J2:J16,"&gt;75")</f>
        <v>2</v>
      </c>
    </row>
    <row r="25" spans="1:2" ht="20" customHeight="1" x14ac:dyDescent="0.35">
      <c r="A25" s="8" t="s">
        <v>144</v>
      </c>
      <c r="B25" s="9">
        <f>COUNTIF('Project Portfolio'!J2:J16,"&lt;20")</f>
        <v>3</v>
      </c>
    </row>
  </sheetData>
  <mergeCells count="5">
    <mergeCell ref="A4:B4"/>
    <mergeCell ref="A1:D1"/>
    <mergeCell ref="A11:B11"/>
    <mergeCell ref="A17:B17"/>
    <mergeCell ref="A22:B2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544AF-41A3-4A85-81B2-92E2CE87AB7A}">
  <dimension ref="A1:A37"/>
  <sheetViews>
    <sheetView topLeftCell="A23" workbookViewId="0">
      <selection activeCell="A33" sqref="A33"/>
    </sheetView>
  </sheetViews>
  <sheetFormatPr defaultRowHeight="14.5" x14ac:dyDescent="0.35"/>
  <cols>
    <col min="1" max="1" width="21.81640625" customWidth="1"/>
  </cols>
  <sheetData>
    <row r="1" spans="1:1" ht="21" x14ac:dyDescent="0.5">
      <c r="A1" s="14" t="s">
        <v>145</v>
      </c>
    </row>
    <row r="3" spans="1:1" x14ac:dyDescent="0.35">
      <c r="A3" s="16" t="s">
        <v>146</v>
      </c>
    </row>
    <row r="4" spans="1:1" ht="50" customHeight="1" x14ac:dyDescent="0.35">
      <c r="A4" s="17" t="s">
        <v>147</v>
      </c>
    </row>
    <row r="6" spans="1:1" x14ac:dyDescent="0.35">
      <c r="A6" s="18" t="s">
        <v>148</v>
      </c>
    </row>
    <row r="7" spans="1:1" ht="50" customHeight="1" x14ac:dyDescent="0.35">
      <c r="A7" s="17" t="s">
        <v>149</v>
      </c>
    </row>
    <row r="9" spans="1:1" x14ac:dyDescent="0.35">
      <c r="A9" s="19" t="s">
        <v>150</v>
      </c>
    </row>
    <row r="10" spans="1:1" ht="50" customHeight="1" x14ac:dyDescent="0.35">
      <c r="A10" s="17" t="s">
        <v>151</v>
      </c>
    </row>
    <row r="32" spans="1:1" x14ac:dyDescent="0.35">
      <c r="A32" s="20" t="s">
        <v>152</v>
      </c>
    </row>
    <row r="33" spans="1:1" x14ac:dyDescent="0.35">
      <c r="A33" t="s">
        <v>153</v>
      </c>
    </row>
    <row r="34" spans="1:1" x14ac:dyDescent="0.35">
      <c r="A34" t="s">
        <v>154</v>
      </c>
    </row>
    <row r="35" spans="1:1" x14ac:dyDescent="0.35">
      <c r="A35" t="s">
        <v>155</v>
      </c>
    </row>
    <row r="36" spans="1:1" x14ac:dyDescent="0.35">
      <c r="A36" t="s">
        <v>156</v>
      </c>
    </row>
    <row r="37" spans="1:1" x14ac:dyDescent="0.35">
      <c r="A37" t="s">
        <v>157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4B541-6958-4792-B8C7-84FC090F69BF}">
  <dimension ref="A1:AA28"/>
  <sheetViews>
    <sheetView tabSelected="1" zoomScale="70" zoomScaleNormal="70" workbookViewId="0">
      <pane xSplit="7" ySplit="3" topLeftCell="J4" activePane="bottomRight" state="frozen"/>
      <selection pane="topRight" activeCell="H1" sqref="H1"/>
      <selection pane="bottomLeft" activeCell="A4" sqref="A4"/>
      <selection pane="bottomRight"/>
    </sheetView>
  </sheetViews>
  <sheetFormatPr defaultRowHeight="14.5" x14ac:dyDescent="0.35"/>
  <cols>
    <col min="1" max="1" width="32.7265625" customWidth="1"/>
    <col min="2" max="3" width="13.6328125" customWidth="1"/>
    <col min="4" max="4" width="8.1796875" customWidth="1"/>
    <col min="5" max="6" width="9.08984375" customWidth="1"/>
    <col min="7" max="7" width="12.7265625" customWidth="1"/>
    <col min="8" max="27" width="7.6328125" customWidth="1"/>
  </cols>
  <sheetData>
    <row r="1" spans="1:27" ht="21" x14ac:dyDescent="0.5">
      <c r="A1" s="13" t="s">
        <v>158</v>
      </c>
    </row>
    <row r="2" spans="1:27" hidden="1" x14ac:dyDescent="0.35">
      <c r="H2">
        <v>45566</v>
      </c>
      <c r="I2">
        <v>45597</v>
      </c>
      <c r="J2">
        <v>45627</v>
      </c>
      <c r="K2">
        <v>45658</v>
      </c>
      <c r="L2">
        <v>45689</v>
      </c>
      <c r="M2">
        <v>45717</v>
      </c>
      <c r="N2">
        <v>45748</v>
      </c>
      <c r="O2">
        <v>45778</v>
      </c>
      <c r="P2">
        <v>45809</v>
      </c>
      <c r="Q2">
        <v>45839</v>
      </c>
      <c r="R2">
        <v>45870</v>
      </c>
      <c r="S2">
        <v>45901</v>
      </c>
      <c r="T2">
        <v>45931</v>
      </c>
      <c r="U2">
        <v>45962</v>
      </c>
      <c r="V2">
        <v>45992</v>
      </c>
      <c r="W2">
        <v>46023</v>
      </c>
      <c r="X2">
        <v>46054</v>
      </c>
      <c r="Y2">
        <v>46082</v>
      </c>
      <c r="Z2">
        <v>46113</v>
      </c>
      <c r="AA2">
        <v>46143</v>
      </c>
    </row>
    <row r="3" spans="1:27" x14ac:dyDescent="0.35">
      <c r="A3" s="21" t="s">
        <v>1</v>
      </c>
      <c r="B3" s="21" t="s">
        <v>180</v>
      </c>
      <c r="C3" s="21" t="s">
        <v>181</v>
      </c>
      <c r="D3" s="21" t="s">
        <v>182</v>
      </c>
      <c r="E3" s="21" t="s">
        <v>183</v>
      </c>
      <c r="F3" s="21" t="s">
        <v>159</v>
      </c>
      <c r="G3" s="21" t="s">
        <v>4</v>
      </c>
      <c r="H3" s="24" t="s">
        <v>160</v>
      </c>
      <c r="I3" s="24" t="s">
        <v>161</v>
      </c>
      <c r="J3" s="24" t="s">
        <v>162</v>
      </c>
      <c r="K3" s="24" t="s">
        <v>163</v>
      </c>
      <c r="L3" s="24" t="s">
        <v>164</v>
      </c>
      <c r="M3" s="24" t="s">
        <v>165</v>
      </c>
      <c r="N3" s="24" t="s">
        <v>166</v>
      </c>
      <c r="O3" s="27" t="s">
        <v>167</v>
      </c>
      <c r="P3" s="24" t="s">
        <v>168</v>
      </c>
      <c r="Q3" s="24" t="s">
        <v>169</v>
      </c>
      <c r="R3" s="24" t="s">
        <v>170</v>
      </c>
      <c r="S3" s="24" t="s">
        <v>171</v>
      </c>
      <c r="T3" s="24" t="s">
        <v>172</v>
      </c>
      <c r="U3" s="24" t="s">
        <v>173</v>
      </c>
      <c r="V3" s="24" t="s">
        <v>174</v>
      </c>
      <c r="W3" s="24" t="s">
        <v>175</v>
      </c>
      <c r="X3" s="24" t="s">
        <v>176</v>
      </c>
      <c r="Y3" s="24" t="s">
        <v>177</v>
      </c>
      <c r="Z3" s="24" t="s">
        <v>178</v>
      </c>
      <c r="AA3" s="24" t="s">
        <v>179</v>
      </c>
    </row>
    <row r="4" spans="1:27" x14ac:dyDescent="0.35">
      <c r="A4" s="32" t="str">
        <f>'Project Portfolio'!B13</f>
        <v>Payment Gateway Integration</v>
      </c>
      <c r="B4" s="33" t="str">
        <f>'Project Portfolio'!G13</f>
        <v>01-Oct-2024</v>
      </c>
      <c r="C4" s="33" t="str">
        <f>'Project Portfolio'!H13</f>
        <v>31-Mar-2025</v>
      </c>
      <c r="D4" s="32">
        <f>'Project Portfolio'!I13</f>
        <v>182</v>
      </c>
      <c r="E4" s="34">
        <f>'Project Portfolio'!J13/100</f>
        <v>1</v>
      </c>
      <c r="F4" s="32" t="str">
        <f>'Project Portfolio'!Q13</f>
        <v>Green</v>
      </c>
      <c r="G4" s="32" t="str">
        <f>'Project Portfolio'!E13</f>
        <v>Closed</v>
      </c>
      <c r="H4" s="32" t="s">
        <v>184</v>
      </c>
      <c r="I4" s="32" t="s">
        <v>184</v>
      </c>
      <c r="J4" s="32" t="s">
        <v>184</v>
      </c>
      <c r="K4" s="32" t="s">
        <v>184</v>
      </c>
      <c r="L4" s="32" t="s">
        <v>184</v>
      </c>
      <c r="M4" s="32" t="s">
        <v>184</v>
      </c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</row>
    <row r="5" spans="1:27" x14ac:dyDescent="0.35">
      <c r="A5" t="str">
        <f>'Project Portfolio'!B6</f>
        <v>HRMS Self-Service Portal</v>
      </c>
      <c r="B5" s="22" t="str">
        <f>'Project Portfolio'!G6</f>
        <v>01-Nov-2024</v>
      </c>
      <c r="C5" s="22" t="str">
        <f>'Project Portfolio'!H6</f>
        <v>30-Jun-2025</v>
      </c>
      <c r="D5">
        <f>'Project Portfolio'!I6</f>
        <v>241</v>
      </c>
      <c r="E5" s="23">
        <f>'Project Portfolio'!J6/100</f>
        <v>0.88</v>
      </c>
      <c r="F5" t="str">
        <f>'Project Portfolio'!Q6</f>
        <v>Green</v>
      </c>
      <c r="G5" t="str">
        <f>'Project Portfolio'!E6</f>
        <v>UAT</v>
      </c>
      <c r="I5" t="s">
        <v>184</v>
      </c>
      <c r="J5" t="s">
        <v>184</v>
      </c>
      <c r="K5" t="s">
        <v>184</v>
      </c>
      <c r="L5" t="s">
        <v>184</v>
      </c>
      <c r="M5" t="s">
        <v>184</v>
      </c>
      <c r="N5" t="s">
        <v>184</v>
      </c>
      <c r="O5" s="28" t="s">
        <v>184</v>
      </c>
      <c r="P5" t="s">
        <v>184</v>
      </c>
    </row>
    <row r="6" spans="1:27" x14ac:dyDescent="0.35">
      <c r="A6" s="32" t="str">
        <f>'Project Portfolio'!B2</f>
        <v>Core Banking Modernization</v>
      </c>
      <c r="B6" s="33" t="str">
        <f>'Project Portfolio'!G2</f>
        <v>01-Jan-2025</v>
      </c>
      <c r="C6" s="33" t="str">
        <f>'Project Portfolio'!H2</f>
        <v>31-Dec-2025</v>
      </c>
      <c r="D6" s="32">
        <f>'Project Portfolio'!I2</f>
        <v>365</v>
      </c>
      <c r="E6" s="34">
        <f>'Project Portfolio'!J2/100</f>
        <v>0.62</v>
      </c>
      <c r="F6" s="32" t="str">
        <f>'Project Portfolio'!Q2</f>
        <v>Green</v>
      </c>
      <c r="G6" s="32" t="str">
        <f>'Project Portfolio'!E2</f>
        <v>Execution</v>
      </c>
      <c r="H6" s="32"/>
      <c r="I6" s="32"/>
      <c r="J6" s="32"/>
      <c r="K6" s="32" t="s">
        <v>184</v>
      </c>
      <c r="L6" s="32" t="s">
        <v>184</v>
      </c>
      <c r="M6" s="32" t="s">
        <v>184</v>
      </c>
      <c r="N6" s="32" t="s">
        <v>184</v>
      </c>
      <c r="O6" s="32" t="s">
        <v>184</v>
      </c>
      <c r="P6" s="32" t="s">
        <v>184</v>
      </c>
      <c r="Q6" s="32" t="s">
        <v>184</v>
      </c>
      <c r="R6" s="32" t="s">
        <v>184</v>
      </c>
      <c r="S6" s="32" t="s">
        <v>184</v>
      </c>
      <c r="T6" s="32" t="s">
        <v>184</v>
      </c>
      <c r="U6" s="32" t="s">
        <v>184</v>
      </c>
      <c r="V6" s="32" t="s">
        <v>184</v>
      </c>
      <c r="W6" s="32"/>
      <c r="X6" s="32"/>
      <c r="Y6" s="32"/>
      <c r="Z6" s="32"/>
      <c r="AA6" s="32"/>
    </row>
    <row r="7" spans="1:27" x14ac:dyDescent="0.35">
      <c r="A7" t="str">
        <f>'Project Portfolio'!B7</f>
        <v>Cybersecurity Enhancement</v>
      </c>
      <c r="B7" s="22" t="str">
        <f>'Project Portfolio'!G7</f>
        <v>01-Jan-2025</v>
      </c>
      <c r="C7" s="22" t="str">
        <f>'Project Portfolio'!H7</f>
        <v>31-Oct-2025</v>
      </c>
      <c r="D7">
        <f>'Project Portfolio'!I7</f>
        <v>304</v>
      </c>
      <c r="E7" s="23">
        <f>'Project Portfolio'!J7/100</f>
        <v>0.5</v>
      </c>
      <c r="F7" t="str">
        <f>'Project Portfolio'!Q7</f>
        <v>Red</v>
      </c>
      <c r="G7" t="str">
        <f>'Project Portfolio'!E7</f>
        <v>Execution</v>
      </c>
      <c r="K7" t="s">
        <v>184</v>
      </c>
      <c r="L7" t="s">
        <v>184</v>
      </c>
      <c r="M7" t="s">
        <v>184</v>
      </c>
      <c r="N7" t="s">
        <v>184</v>
      </c>
      <c r="O7" s="28" t="s">
        <v>184</v>
      </c>
      <c r="P7" t="s">
        <v>184</v>
      </c>
      <c r="Q7" t="s">
        <v>184</v>
      </c>
      <c r="R7" t="s">
        <v>184</v>
      </c>
      <c r="S7" t="s">
        <v>184</v>
      </c>
      <c r="T7" t="s">
        <v>184</v>
      </c>
    </row>
    <row r="8" spans="1:27" x14ac:dyDescent="0.35">
      <c r="A8" s="32" t="str">
        <f>'Project Portfolio'!B16</f>
        <v>Treasury Management System</v>
      </c>
      <c r="B8" s="33" t="str">
        <f>'Project Portfolio'!G16</f>
        <v>15-Jan-2025</v>
      </c>
      <c r="C8" s="33" t="str">
        <f>'Project Portfolio'!H16</f>
        <v>15-Nov-2025</v>
      </c>
      <c r="D8" s="32">
        <f>'Project Portfolio'!I16</f>
        <v>305</v>
      </c>
      <c r="E8" s="34">
        <f>'Project Portfolio'!J16/100</f>
        <v>0.6</v>
      </c>
      <c r="F8" s="32" t="str">
        <f>'Project Portfolio'!Q16</f>
        <v>Amber</v>
      </c>
      <c r="G8" s="32" t="str">
        <f>'Project Portfolio'!E16</f>
        <v>Execution</v>
      </c>
      <c r="H8" s="32"/>
      <c r="I8" s="32"/>
      <c r="J8" s="32"/>
      <c r="K8" s="32" t="s">
        <v>184</v>
      </c>
      <c r="L8" s="32" t="s">
        <v>184</v>
      </c>
      <c r="M8" s="32" t="s">
        <v>184</v>
      </c>
      <c r="N8" s="32" t="s">
        <v>184</v>
      </c>
      <c r="O8" s="32" t="s">
        <v>184</v>
      </c>
      <c r="P8" s="32" t="s">
        <v>184</v>
      </c>
      <c r="Q8" s="32" t="s">
        <v>184</v>
      </c>
      <c r="R8" s="32" t="s">
        <v>184</v>
      </c>
      <c r="S8" s="32" t="s">
        <v>184</v>
      </c>
      <c r="T8" s="32" t="s">
        <v>184</v>
      </c>
      <c r="U8" s="32" t="s">
        <v>184</v>
      </c>
      <c r="V8" s="32"/>
      <c r="W8" s="32"/>
      <c r="X8" s="32"/>
      <c r="Y8" s="32"/>
      <c r="Z8" s="32"/>
      <c r="AA8" s="32"/>
    </row>
    <row r="9" spans="1:27" x14ac:dyDescent="0.35">
      <c r="A9" t="str">
        <f>'Project Portfolio'!B5</f>
        <v>CRM Platform Upgrade</v>
      </c>
      <c r="B9" s="22" t="str">
        <f>'Project Portfolio'!G5</f>
        <v>01-Feb-2025</v>
      </c>
      <c r="C9" s="22" t="str">
        <f>'Project Portfolio'!H5</f>
        <v>31-Aug-2025</v>
      </c>
      <c r="D9">
        <f>'Project Portfolio'!I5</f>
        <v>212</v>
      </c>
      <c r="E9" s="23">
        <f>'Project Portfolio'!J5/100</f>
        <v>0.7</v>
      </c>
      <c r="F9" t="str">
        <f>'Project Portfolio'!Q5</f>
        <v>Amber</v>
      </c>
      <c r="G9" t="str">
        <f>'Project Portfolio'!E5</f>
        <v>Execution</v>
      </c>
      <c r="L9" t="s">
        <v>184</v>
      </c>
      <c r="M9" t="s">
        <v>184</v>
      </c>
      <c r="N9" t="s">
        <v>184</v>
      </c>
      <c r="O9" s="28" t="s">
        <v>184</v>
      </c>
      <c r="P9" t="s">
        <v>184</v>
      </c>
      <c r="Q9" t="s">
        <v>184</v>
      </c>
      <c r="R9" t="s">
        <v>184</v>
      </c>
    </row>
    <row r="10" spans="1:27" x14ac:dyDescent="0.35">
      <c r="A10" s="32" t="str">
        <f>'Project Portfolio'!B14</f>
        <v>Fraud Detection AI</v>
      </c>
      <c r="B10" s="33" t="str">
        <f>'Project Portfolio'!G14</f>
        <v>01-Feb-2025</v>
      </c>
      <c r="C10" s="33" t="str">
        <f>'Project Portfolio'!H14</f>
        <v>31-Dec-2025</v>
      </c>
      <c r="D10" s="32">
        <f>'Project Portfolio'!I14</f>
        <v>334</v>
      </c>
      <c r="E10" s="34">
        <f>'Project Portfolio'!J14/100</f>
        <v>0.38</v>
      </c>
      <c r="F10" s="32" t="str">
        <f>'Project Portfolio'!Q14</f>
        <v>Amber</v>
      </c>
      <c r="G10" s="32" t="str">
        <f>'Project Portfolio'!E14</f>
        <v>Execution</v>
      </c>
      <c r="H10" s="32"/>
      <c r="I10" s="32"/>
      <c r="J10" s="32"/>
      <c r="K10" s="32"/>
      <c r="L10" s="32" t="s">
        <v>184</v>
      </c>
      <c r="M10" s="32" t="s">
        <v>184</v>
      </c>
      <c r="N10" s="32" t="s">
        <v>184</v>
      </c>
      <c r="O10" s="32" t="s">
        <v>184</v>
      </c>
      <c r="P10" s="32" t="s">
        <v>184</v>
      </c>
      <c r="Q10" s="32" t="s">
        <v>184</v>
      </c>
      <c r="R10" s="32" t="s">
        <v>184</v>
      </c>
      <c r="S10" s="32" t="s">
        <v>184</v>
      </c>
      <c r="T10" s="32" t="s">
        <v>184</v>
      </c>
      <c r="U10" s="32" t="s">
        <v>184</v>
      </c>
      <c r="V10" s="32" t="s">
        <v>184</v>
      </c>
      <c r="W10" s="32"/>
      <c r="X10" s="32"/>
      <c r="Y10" s="32"/>
      <c r="Z10" s="32"/>
      <c r="AA10" s="32"/>
    </row>
    <row r="11" spans="1:27" x14ac:dyDescent="0.35">
      <c r="A11" t="str">
        <f>'Project Portfolio'!B10</f>
        <v>Cloud Infrastructure Setup</v>
      </c>
      <c r="B11" s="22" t="str">
        <f>'Project Portfolio'!G10</f>
        <v>15-Feb-2025</v>
      </c>
      <c r="C11" s="22" t="str">
        <f>'Project Portfolio'!H10</f>
        <v>15-Aug-2025</v>
      </c>
      <c r="D11">
        <f>'Project Portfolio'!I10</f>
        <v>181</v>
      </c>
      <c r="E11" s="23">
        <f>'Project Portfolio'!J10/100</f>
        <v>0.75</v>
      </c>
      <c r="F11" t="str">
        <f>'Project Portfolio'!Q10</f>
        <v>Amber</v>
      </c>
      <c r="G11" t="str">
        <f>'Project Portfolio'!E10</f>
        <v>Execution</v>
      </c>
      <c r="L11" t="s">
        <v>184</v>
      </c>
      <c r="M11" t="s">
        <v>184</v>
      </c>
      <c r="N11" t="s">
        <v>184</v>
      </c>
      <c r="O11" s="28" t="s">
        <v>184</v>
      </c>
      <c r="P11" t="s">
        <v>184</v>
      </c>
      <c r="Q11" t="s">
        <v>184</v>
      </c>
      <c r="R11" t="s">
        <v>184</v>
      </c>
    </row>
    <row r="12" spans="1:27" x14ac:dyDescent="0.35">
      <c r="A12" s="32" t="str">
        <f>'Project Portfolio'!B3</f>
        <v>Regulatory Compliance Suite</v>
      </c>
      <c r="B12" s="33" t="str">
        <f>'Project Portfolio'!G3</f>
        <v>01-Mar-2025</v>
      </c>
      <c r="C12" s="33" t="str">
        <f>'Project Portfolio'!H3</f>
        <v>30-Sep-2025</v>
      </c>
      <c r="D12" s="32">
        <f>'Project Portfolio'!I3</f>
        <v>214</v>
      </c>
      <c r="E12" s="34">
        <f>'Project Portfolio'!J3/100</f>
        <v>0.45</v>
      </c>
      <c r="F12" s="32" t="str">
        <f>'Project Portfolio'!Q3</f>
        <v>Amber</v>
      </c>
      <c r="G12" s="32" t="str">
        <f>'Project Portfolio'!E3</f>
        <v>Execution</v>
      </c>
      <c r="H12" s="32"/>
      <c r="I12" s="32"/>
      <c r="J12" s="32"/>
      <c r="K12" s="32"/>
      <c r="L12" s="32" t="s">
        <v>184</v>
      </c>
      <c r="M12" s="32" t="s">
        <v>184</v>
      </c>
      <c r="N12" s="32" t="s">
        <v>184</v>
      </c>
      <c r="O12" s="32" t="s">
        <v>184</v>
      </c>
      <c r="P12" s="32" t="s">
        <v>184</v>
      </c>
      <c r="Q12" s="32" t="s">
        <v>184</v>
      </c>
      <c r="R12" s="32" t="s">
        <v>184</v>
      </c>
      <c r="S12" s="32" t="s">
        <v>184</v>
      </c>
      <c r="T12" s="32"/>
      <c r="U12" s="32"/>
      <c r="V12" s="32"/>
      <c r="W12" s="32"/>
      <c r="X12" s="32"/>
      <c r="Y12" s="32"/>
      <c r="Z12" s="32"/>
      <c r="AA12" s="32"/>
    </row>
    <row r="13" spans="1:27" x14ac:dyDescent="0.35">
      <c r="A13" t="str">
        <f>'Project Portfolio'!B8</f>
        <v>Mobile Banking App v3</v>
      </c>
      <c r="B13" s="22" t="str">
        <f>'Project Portfolio'!G8</f>
        <v>01-Mar-2025</v>
      </c>
      <c r="C13" s="22" t="str">
        <f>'Project Portfolio'!H8</f>
        <v>30-Nov-2025</v>
      </c>
      <c r="D13">
        <f>'Project Portfolio'!I8</f>
        <v>275</v>
      </c>
      <c r="E13" s="23">
        <f>'Project Portfolio'!J8/100</f>
        <v>0.4</v>
      </c>
      <c r="F13" t="str">
        <f>'Project Portfolio'!Q8</f>
        <v>Green</v>
      </c>
      <c r="G13" t="str">
        <f>'Project Portfolio'!E8</f>
        <v>Execution</v>
      </c>
      <c r="L13" t="s">
        <v>184</v>
      </c>
      <c r="M13" t="s">
        <v>184</v>
      </c>
      <c r="N13" t="s">
        <v>184</v>
      </c>
      <c r="O13" s="28" t="s">
        <v>184</v>
      </c>
      <c r="P13" t="s">
        <v>184</v>
      </c>
      <c r="Q13" t="s">
        <v>184</v>
      </c>
      <c r="R13" t="s">
        <v>184</v>
      </c>
      <c r="S13" t="s">
        <v>184</v>
      </c>
      <c r="T13" t="s">
        <v>184</v>
      </c>
      <c r="U13" t="s">
        <v>184</v>
      </c>
    </row>
    <row r="14" spans="1:27" x14ac:dyDescent="0.35">
      <c r="A14" s="32" t="str">
        <f>'Project Portfolio'!B12</f>
        <v>ATM Network Upgrade</v>
      </c>
      <c r="B14" s="33" t="str">
        <f>'Project Portfolio'!G12</f>
        <v>01-Mar-2025</v>
      </c>
      <c r="C14" s="33" t="str">
        <f>'Project Portfolio'!H12</f>
        <v>30-Sep-2025</v>
      </c>
      <c r="D14" s="32">
        <f>'Project Portfolio'!I12</f>
        <v>214</v>
      </c>
      <c r="E14" s="34">
        <f>'Project Portfolio'!J12/100</f>
        <v>0.55000000000000004</v>
      </c>
      <c r="F14" s="32" t="str">
        <f>'Project Portfolio'!Q12</f>
        <v>Green</v>
      </c>
      <c r="G14" s="32" t="str">
        <f>'Project Portfolio'!E12</f>
        <v>Execution</v>
      </c>
      <c r="H14" s="32"/>
      <c r="I14" s="32"/>
      <c r="J14" s="32"/>
      <c r="K14" s="32"/>
      <c r="L14" s="32" t="s">
        <v>184</v>
      </c>
      <c r="M14" s="32" t="s">
        <v>184</v>
      </c>
      <c r="N14" s="32" t="s">
        <v>184</v>
      </c>
      <c r="O14" s="32" t="s">
        <v>184</v>
      </c>
      <c r="P14" s="32" t="s">
        <v>184</v>
      </c>
      <c r="Q14" s="32" t="s">
        <v>184</v>
      </c>
      <c r="R14" s="32" t="s">
        <v>184</v>
      </c>
      <c r="S14" s="32" t="s">
        <v>184</v>
      </c>
      <c r="T14" s="32"/>
      <c r="U14" s="32"/>
      <c r="V14" s="32"/>
      <c r="W14" s="32"/>
      <c r="X14" s="32"/>
      <c r="Y14" s="32"/>
      <c r="Z14" s="32"/>
      <c r="AA14" s="32"/>
    </row>
    <row r="15" spans="1:27" x14ac:dyDescent="0.35">
      <c r="A15" t="str">
        <f>'Project Portfolio'!B11</f>
        <v>Customer Analytics Platform</v>
      </c>
      <c r="B15" s="22" t="str">
        <f>'Project Portfolio'!G11</f>
        <v>01-Apr-2025</v>
      </c>
      <c r="C15" s="22" t="str">
        <f>'Project Portfolio'!H11</f>
        <v>31-Jan-2026</v>
      </c>
      <c r="D15">
        <f>'Project Portfolio'!I11</f>
        <v>306</v>
      </c>
      <c r="E15" s="23">
        <f>'Project Portfolio'!J11/100</f>
        <v>0.3</v>
      </c>
      <c r="F15" t="str">
        <f>'Project Portfolio'!Q11</f>
        <v>Green</v>
      </c>
      <c r="G15" t="str">
        <f>'Project Portfolio'!E11</f>
        <v>Execution</v>
      </c>
      <c r="N15" t="s">
        <v>184</v>
      </c>
      <c r="O15" s="28" t="s">
        <v>184</v>
      </c>
      <c r="P15" t="s">
        <v>184</v>
      </c>
      <c r="Q15" t="s">
        <v>184</v>
      </c>
      <c r="R15" t="s">
        <v>184</v>
      </c>
      <c r="S15" t="s">
        <v>184</v>
      </c>
      <c r="T15" t="s">
        <v>184</v>
      </c>
      <c r="U15" t="s">
        <v>184</v>
      </c>
      <c r="V15" t="s">
        <v>184</v>
      </c>
      <c r="W15" t="s">
        <v>184</v>
      </c>
    </row>
    <row r="16" spans="1:27" x14ac:dyDescent="0.35">
      <c r="A16" s="32" t="str">
        <f>'Project Portfolio'!B4</f>
        <v>Data Warehouse Migration</v>
      </c>
      <c r="B16" s="33" t="str">
        <f>'Project Portfolio'!G4</f>
        <v>15-Apr-2025</v>
      </c>
      <c r="C16" s="33" t="str">
        <f>'Project Portfolio'!H4</f>
        <v>31-Mar-2026</v>
      </c>
      <c r="D16" s="32">
        <f>'Project Portfolio'!I4</f>
        <v>351</v>
      </c>
      <c r="E16" s="34">
        <f>'Project Portfolio'!J4/100</f>
        <v>0.18</v>
      </c>
      <c r="F16" s="32" t="str">
        <f>'Project Portfolio'!Q4</f>
        <v>Green</v>
      </c>
      <c r="G16" s="32" t="str">
        <f>'Project Portfolio'!E4</f>
        <v>Planning</v>
      </c>
      <c r="H16" s="32"/>
      <c r="I16" s="32"/>
      <c r="J16" s="32"/>
      <c r="K16" s="32"/>
      <c r="L16" s="32"/>
      <c r="M16" s="32"/>
      <c r="N16" s="32" t="s">
        <v>184</v>
      </c>
      <c r="O16" s="32" t="s">
        <v>184</v>
      </c>
      <c r="P16" s="32" t="s">
        <v>184</v>
      </c>
      <c r="Q16" s="32" t="s">
        <v>184</v>
      </c>
      <c r="R16" s="32" t="s">
        <v>184</v>
      </c>
      <c r="S16" s="32" t="s">
        <v>184</v>
      </c>
      <c r="T16" s="32" t="s">
        <v>184</v>
      </c>
      <c r="U16" s="32" t="s">
        <v>184</v>
      </c>
      <c r="V16" s="32" t="s">
        <v>184</v>
      </c>
      <c r="W16" s="32" t="s">
        <v>184</v>
      </c>
      <c r="X16" s="32" t="s">
        <v>184</v>
      </c>
      <c r="Y16" s="32" t="s">
        <v>184</v>
      </c>
      <c r="Z16" s="32"/>
      <c r="AA16" s="32"/>
    </row>
    <row r="17" spans="1:27" x14ac:dyDescent="0.35">
      <c r="A17" t="str">
        <f>'Project Portfolio'!B15</f>
        <v>Branch Digitization</v>
      </c>
      <c r="B17" s="22" t="str">
        <f>'Project Portfolio'!G15</f>
        <v>01-May-2025</v>
      </c>
      <c r="C17" s="22" t="str">
        <f>'Project Portfolio'!H15</f>
        <v>30-Apr-2026</v>
      </c>
      <c r="D17">
        <f>'Project Portfolio'!I15</f>
        <v>365</v>
      </c>
      <c r="E17" s="23">
        <f>'Project Portfolio'!J15/100</f>
        <v>0.1</v>
      </c>
      <c r="F17" t="str">
        <f>'Project Portfolio'!Q15</f>
        <v>Green</v>
      </c>
      <c r="G17" t="str">
        <f>'Project Portfolio'!E15</f>
        <v>Planning</v>
      </c>
      <c r="N17" t="s">
        <v>184</v>
      </c>
      <c r="O17" s="28" t="s">
        <v>184</v>
      </c>
      <c r="P17" t="s">
        <v>184</v>
      </c>
      <c r="Q17" t="s">
        <v>184</v>
      </c>
      <c r="R17" t="s">
        <v>184</v>
      </c>
      <c r="S17" t="s">
        <v>184</v>
      </c>
      <c r="T17" t="s">
        <v>184</v>
      </c>
      <c r="U17" t="s">
        <v>184</v>
      </c>
      <c r="V17" t="s">
        <v>184</v>
      </c>
      <c r="W17" t="s">
        <v>184</v>
      </c>
      <c r="X17" t="s">
        <v>184</v>
      </c>
      <c r="Y17" t="s">
        <v>184</v>
      </c>
      <c r="Z17" t="s">
        <v>184</v>
      </c>
      <c r="AA17" t="s">
        <v>184</v>
      </c>
    </row>
    <row r="18" spans="1:27" x14ac:dyDescent="0.35">
      <c r="A18" s="32" t="str">
        <f>'Project Portfolio'!B9</f>
        <v>ERP Finance Module</v>
      </c>
      <c r="B18" s="33" t="str">
        <f>'Project Portfolio'!G9</f>
        <v>01-Jun-2025</v>
      </c>
      <c r="C18" s="33" t="str">
        <f>'Project Portfolio'!H9</f>
        <v>31-May-2026</v>
      </c>
      <c r="D18" s="32">
        <f>'Project Portfolio'!I9</f>
        <v>365</v>
      </c>
      <c r="E18" s="34">
        <f>'Project Portfolio'!J9/100</f>
        <v>0.05</v>
      </c>
      <c r="F18" s="32" t="str">
        <f>'Project Portfolio'!Q9</f>
        <v>Green</v>
      </c>
      <c r="G18" s="32" t="str">
        <f>'Project Portfolio'!E9</f>
        <v>Initiation</v>
      </c>
      <c r="H18" s="32"/>
      <c r="I18" s="32"/>
      <c r="J18" s="32"/>
      <c r="K18" s="32"/>
      <c r="L18" s="32"/>
      <c r="M18" s="32"/>
      <c r="N18" s="32"/>
      <c r="O18" s="32"/>
      <c r="P18" s="32" t="s">
        <v>184</v>
      </c>
      <c r="Q18" s="32" t="s">
        <v>184</v>
      </c>
      <c r="R18" s="32" t="s">
        <v>184</v>
      </c>
      <c r="S18" s="32" t="s">
        <v>184</v>
      </c>
      <c r="T18" s="32" t="s">
        <v>184</v>
      </c>
      <c r="U18" s="32" t="s">
        <v>184</v>
      </c>
      <c r="V18" s="32" t="s">
        <v>184</v>
      </c>
      <c r="W18" s="32" t="s">
        <v>184</v>
      </c>
      <c r="X18" s="32" t="s">
        <v>184</v>
      </c>
      <c r="Y18" s="32" t="s">
        <v>184</v>
      </c>
      <c r="Z18" s="32" t="s">
        <v>184</v>
      </c>
      <c r="AA18" s="32" t="s">
        <v>184</v>
      </c>
    </row>
    <row r="20" spans="1:27" x14ac:dyDescent="0.35">
      <c r="A20" s="29" t="s">
        <v>185</v>
      </c>
    </row>
    <row r="22" spans="1:27" x14ac:dyDescent="0.35">
      <c r="A22" s="15" t="s">
        <v>186</v>
      </c>
      <c r="B22" s="30" t="s">
        <v>187</v>
      </c>
      <c r="C22" s="26" t="s">
        <v>188</v>
      </c>
      <c r="D22" s="25" t="s">
        <v>189</v>
      </c>
    </row>
    <row r="24" spans="1:27" ht="15.5" x14ac:dyDescent="0.35">
      <c r="A24" s="31" t="s">
        <v>190</v>
      </c>
    </row>
    <row r="25" spans="1:27" x14ac:dyDescent="0.35">
      <c r="A25" t="s">
        <v>191</v>
      </c>
    </row>
    <row r="26" spans="1:27" x14ac:dyDescent="0.35">
      <c r="A26" t="s">
        <v>192</v>
      </c>
    </row>
    <row r="27" spans="1:27" x14ac:dyDescent="0.35">
      <c r="A27" t="s">
        <v>193</v>
      </c>
    </row>
    <row r="28" spans="1:27" x14ac:dyDescent="0.35">
      <c r="A28" t="s">
        <v>194</v>
      </c>
    </row>
  </sheetData>
  <conditionalFormatting sqref="H4:AA18">
    <cfRule type="expression" dxfId="5" priority="1">
      <formula>$F4="Red"</formula>
    </cfRule>
  </conditionalFormatting>
  <conditionalFormatting sqref="H4:AA18">
    <cfRule type="expression" dxfId="4" priority="2">
      <formula>$F4="Amber"</formula>
    </cfRule>
  </conditionalFormatting>
  <conditionalFormatting sqref="H4:AA18">
    <cfRule type="expression" dxfId="3" priority="3">
      <formula>$F4="Green"</formula>
    </cfRule>
  </conditionalFormatting>
  <conditionalFormatting sqref="F4:F18">
    <cfRule type="containsText" dxfId="2" priority="4" operator="containsText" text="Red">
      <formula>NOT(ISERROR(SEARCH("Red",F4)))</formula>
    </cfRule>
  </conditionalFormatting>
  <conditionalFormatting sqref="F4:F18">
    <cfRule type="containsText" dxfId="1" priority="5" operator="containsText" text="Amber">
      <formula>NOT(ISERROR(SEARCH("Amber",F4)))</formula>
    </cfRule>
  </conditionalFormatting>
  <conditionalFormatting sqref="F4:F18">
    <cfRule type="containsText" dxfId="0" priority="6" operator="containsText" text="Green">
      <formula>NOT(ISERROR(SEARCH("Green",F4)))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Project Portfolio</vt:lpstr>
      <vt:lpstr>Portfolio Summary</vt:lpstr>
      <vt:lpstr>Insights Summary</vt:lpstr>
      <vt:lpstr>Project Timeline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Manish Sharma</cp:lastModifiedBy>
  <dcterms:created xsi:type="dcterms:W3CDTF">2026-05-28T08:43:13Z</dcterms:created>
  <dcterms:modified xsi:type="dcterms:W3CDTF">2026-05-28T12:23:57Z</dcterms:modified>
</cp:coreProperties>
</file>